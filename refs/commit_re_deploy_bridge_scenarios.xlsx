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ves\Code\Oxford\AR6_Solar\refs\"/>
    </mc:Choice>
  </mc:AlternateContent>
  <xr:revisionPtr revIDLastSave="0" documentId="8_{5F673694-A352-4D09-ABD5-012EB2CE792D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K43" i="1" s="1"/>
  <c r="L43" i="1" s="1"/>
  <c r="M43" i="1" s="1"/>
  <c r="N43" i="1" s="1"/>
  <c r="O43" i="1" s="1"/>
  <c r="P43" i="1" s="1"/>
  <c r="Q43" i="1" s="1"/>
  <c r="I43" i="1"/>
  <c r="H43" i="1"/>
  <c r="K31" i="1"/>
  <c r="M31" i="1" s="1"/>
  <c r="O31" i="1" s="1"/>
  <c r="Q31" i="1" s="1"/>
  <c r="I25" i="1"/>
  <c r="J25" i="1" s="1"/>
  <c r="K25" i="1" s="1"/>
  <c r="L25" i="1" s="1"/>
  <c r="M25" i="1" s="1"/>
  <c r="N25" i="1" s="1"/>
  <c r="O25" i="1" s="1"/>
  <c r="P25" i="1" s="1"/>
  <c r="Q25" i="1" s="1"/>
  <c r="H25" i="1"/>
  <c r="H37" i="1"/>
  <c r="P42" i="1"/>
  <c r="O42" i="1"/>
  <c r="N42" i="1"/>
  <c r="M42" i="1"/>
  <c r="H42" i="1"/>
  <c r="G42" i="1"/>
  <c r="F42" i="1"/>
  <c r="G43" i="1" s="1"/>
  <c r="Q41" i="1"/>
  <c r="Q42" i="1" s="1"/>
  <c r="P41" i="1"/>
  <c r="O41" i="1"/>
  <c r="N41" i="1"/>
  <c r="M41" i="1"/>
  <c r="L41" i="1"/>
  <c r="L42" i="1" s="1"/>
  <c r="K41" i="1"/>
  <c r="K42" i="1" s="1"/>
  <c r="J41" i="1"/>
  <c r="J42" i="1" s="1"/>
  <c r="I41" i="1"/>
  <c r="I42" i="1" s="1"/>
  <c r="H41" i="1"/>
  <c r="G41" i="1"/>
  <c r="F41" i="1"/>
  <c r="P36" i="1"/>
  <c r="Q37" i="1" s="1"/>
  <c r="O36" i="1"/>
  <c r="P37" i="1" s="1"/>
  <c r="N36" i="1"/>
  <c r="O37" i="1" s="1"/>
  <c r="M36" i="1"/>
  <c r="N37" i="1" s="1"/>
  <c r="H36" i="1"/>
  <c r="G36" i="1"/>
  <c r="F36" i="1"/>
  <c r="G37" i="1" s="1"/>
  <c r="Q35" i="1"/>
  <c r="Q36" i="1" s="1"/>
  <c r="P35" i="1"/>
  <c r="O35" i="1"/>
  <c r="N35" i="1"/>
  <c r="M35" i="1"/>
  <c r="L35" i="1"/>
  <c r="L36" i="1" s="1"/>
  <c r="M37" i="1" s="1"/>
  <c r="K35" i="1"/>
  <c r="K36" i="1" s="1"/>
  <c r="L37" i="1" s="1"/>
  <c r="J35" i="1"/>
  <c r="J36" i="1" s="1"/>
  <c r="K37" i="1" s="1"/>
  <c r="I35" i="1"/>
  <c r="I36" i="1" s="1"/>
  <c r="J37" i="1" s="1"/>
  <c r="H35" i="1"/>
  <c r="G35" i="1"/>
  <c r="F35" i="1"/>
  <c r="M30" i="1"/>
  <c r="F30" i="1"/>
  <c r="G31" i="1" s="1"/>
  <c r="I31" i="1" s="1"/>
  <c r="Q29" i="1"/>
  <c r="Q30" i="1" s="1"/>
  <c r="P29" i="1"/>
  <c r="P30" i="1" s="1"/>
  <c r="O29" i="1"/>
  <c r="O30" i="1" s="1"/>
  <c r="N29" i="1"/>
  <c r="M29" i="1"/>
  <c r="L29" i="1"/>
  <c r="K29" i="1"/>
  <c r="K30" i="1" s="1"/>
  <c r="J29" i="1"/>
  <c r="I29" i="1"/>
  <c r="I30" i="1" s="1"/>
  <c r="H29" i="1"/>
  <c r="G29" i="1"/>
  <c r="G30" i="1" s="1"/>
  <c r="F29" i="1"/>
  <c r="Q23" i="1"/>
  <c r="Q24" i="1" s="1"/>
  <c r="P23" i="1"/>
  <c r="P24" i="1" s="1"/>
  <c r="O23" i="1"/>
  <c r="O24" i="1" s="1"/>
  <c r="N23" i="1"/>
  <c r="N24" i="1" s="1"/>
  <c r="M23" i="1"/>
  <c r="M24" i="1" s="1"/>
  <c r="L23" i="1"/>
  <c r="L24" i="1" s="1"/>
  <c r="K23" i="1"/>
  <c r="K24" i="1" s="1"/>
  <c r="J23" i="1"/>
  <c r="J24" i="1" s="1"/>
  <c r="I23" i="1"/>
  <c r="I24" i="1" s="1"/>
  <c r="H23" i="1"/>
  <c r="H24" i="1" s="1"/>
  <c r="G23" i="1"/>
  <c r="G24" i="1" s="1"/>
  <c r="F23" i="1"/>
  <c r="F24" i="1" s="1"/>
  <c r="G25" i="1" s="1"/>
  <c r="Q17" i="1"/>
  <c r="Q18" i="1" s="1"/>
  <c r="P17" i="1"/>
  <c r="P18" i="1" s="1"/>
  <c r="O17" i="1"/>
  <c r="O18" i="1" s="1"/>
  <c r="N17" i="1"/>
  <c r="M17" i="1"/>
  <c r="M18" i="1" s="1"/>
  <c r="L17" i="1"/>
  <c r="K17" i="1"/>
  <c r="K18" i="1" s="1"/>
  <c r="J17" i="1"/>
  <c r="I17" i="1"/>
  <c r="I18" i="1" s="1"/>
  <c r="K19" i="1" s="1"/>
  <c r="M19" i="1" s="1"/>
  <c r="O19" i="1" s="1"/>
  <c r="P19" i="1" s="1"/>
  <c r="Q19" i="1" s="1"/>
  <c r="H17" i="1"/>
  <c r="G17" i="1"/>
  <c r="F17" i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G5" i="1"/>
  <c r="G6" i="1" s="1"/>
  <c r="F5" i="1"/>
  <c r="F6" i="1" s="1"/>
  <c r="G7" i="1" s="1"/>
  <c r="H7" i="1" s="1"/>
  <c r="I7" i="1" s="1"/>
  <c r="J7" i="1" s="1"/>
  <c r="K7" i="1" s="1"/>
  <c r="L7" i="1" s="1"/>
  <c r="M7" i="1" s="1"/>
  <c r="N7" i="1" s="1"/>
  <c r="Q11" i="1"/>
  <c r="Q12" i="1" s="1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H13" i="1" s="1"/>
  <c r="I13" i="1" s="1"/>
  <c r="J13" i="1" s="1"/>
  <c r="K13" i="1" s="1"/>
  <c r="L13" i="1" s="1"/>
  <c r="M13" i="1" s="1"/>
  <c r="N13" i="1" s="1"/>
  <c r="O13" i="1" s="1"/>
  <c r="F11" i="1"/>
  <c r="F12" i="1" s="1"/>
  <c r="G13" i="1" s="1"/>
  <c r="I37" i="1" l="1"/>
</calcChain>
</file>

<file path=xl/sharedStrings.xml><?xml version="1.0" encoding="utf-8"?>
<sst xmlns="http://schemas.openxmlformats.org/spreadsheetml/2006/main" count="151" uniqueCount="36">
  <si>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</si>
  <si>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</si>
  <si>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</si>
  <si>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</si>
  <si>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</si>
  <si>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</si>
  <si>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</si>
  <si>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</si>
  <si>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</si>
  <si>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</si>
  <si>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</si>
  <si>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</si>
  <si>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</si>
  <si>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</si>
  <si>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</si>
  <si>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2060</t>
  </si>
  <si>
    <t>2070</t>
  </si>
  <si>
    <t>2080</t>
  </si>
  <si>
    <t>2090</t>
  </si>
  <si>
    <t>2100</t>
  </si>
  <si>
    <t>AIM/CGE</t>
  </si>
  <si>
    <t>Bridge</t>
  </si>
  <si>
    <t>World</t>
  </si>
  <si>
    <t>Capacity|Electricity</t>
  </si>
  <si>
    <t>GW</t>
  </si>
  <si>
    <t/>
  </si>
  <si>
    <t>Capacity|Electricity|Solar</t>
  </si>
  <si>
    <t>Capacity|Electricity|Wind</t>
  </si>
  <si>
    <t>IMAGE 3.0</t>
  </si>
  <si>
    <t>MESSAGEix-GLOBIOM_1.0</t>
  </si>
  <si>
    <t>REMIND-MAgPIE 1.7-3.0</t>
  </si>
  <si>
    <t>TIAM_Grantham_v3.2</t>
  </si>
  <si>
    <t>WITCH 5.0</t>
  </si>
  <si>
    <t>POLES GECO2019</t>
  </si>
  <si>
    <t>© COMMIT Scenario Explorer https://data.ece.iiasa.ac.at/commit</t>
  </si>
  <si>
    <t>COMMIT Scenario Explorer and Data hosted by IIASA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</si>
</sst>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>
      <selection activeCell="N43" sqref="N43"/>
    </sheetView>
  </sheetViews>
  <sheetFormatPr defaultRowHeight="15.6" x14ac:dyDescent="0.3"/>
  <cols>
    <col min="4" max="4" width="22.6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4621.3203000000003</v>
      </c>
      <c r="G2">
        <v>5525.4498999999996</v>
      </c>
      <c r="H2">
        <v>6580.2993999999999</v>
      </c>
      <c r="I2">
        <v>7332.9076999999997</v>
      </c>
      <c r="J2">
        <v>8460.2023000000008</v>
      </c>
      <c r="K2">
        <v>9265.0490000000009</v>
      </c>
      <c r="L2">
        <v>10331.5499</v>
      </c>
      <c r="M2">
        <v>11284.6608</v>
      </c>
      <c r="N2">
        <v>12116.3264</v>
      </c>
      <c r="O2">
        <v>13036.2428</v>
      </c>
      <c r="P2">
        <v>14369.159299999999</v>
      </c>
      <c r="Q2">
        <v>14942.7338</v>
      </c>
      <c r="R2">
        <v>15362.054599999999</v>
      </c>
      <c r="S2">
        <v>15707.168</v>
      </c>
      <c r="T2">
        <v>15961.5609</v>
      </c>
    </row>
    <row r="3" spans="1:20" x14ac:dyDescent="0.3">
      <c r="A3" t="s">
        <v>20</v>
      </c>
      <c r="B3" t="s">
        <v>21</v>
      </c>
      <c r="C3" t="s">
        <v>22</v>
      </c>
      <c r="D3" t="s">
        <v>26</v>
      </c>
      <c r="E3" t="s">
        <v>24</v>
      </c>
      <c r="F3">
        <v>2.4708999999999999</v>
      </c>
      <c r="G3">
        <v>38.241500000000002</v>
      </c>
      <c r="H3">
        <v>235.03450000000001</v>
      </c>
      <c r="I3">
        <v>426.48719999999997</v>
      </c>
      <c r="J3">
        <v>656.36500000000001</v>
      </c>
      <c r="K3">
        <v>937.34400000000005</v>
      </c>
      <c r="L3">
        <v>1281.8347000000001</v>
      </c>
      <c r="M3">
        <v>1582.5803000000001</v>
      </c>
      <c r="N3">
        <v>1827.0367000000001</v>
      </c>
      <c r="O3">
        <v>1991.7156</v>
      </c>
      <c r="P3">
        <v>2171.6675</v>
      </c>
      <c r="Q3">
        <v>2276.7253999999998</v>
      </c>
      <c r="R3">
        <v>2364.3116</v>
      </c>
      <c r="S3">
        <v>2450.0275000000001</v>
      </c>
      <c r="T3">
        <v>2512.4389000000001</v>
      </c>
    </row>
    <row r="4" spans="1:20" x14ac:dyDescent="0.3">
      <c r="A4" t="s">
        <v>20</v>
      </c>
      <c r="B4" t="s">
        <v>21</v>
      </c>
      <c r="C4" t="s">
        <v>22</v>
      </c>
      <c r="D4" t="s">
        <v>27</v>
      </c>
      <c r="E4" t="s">
        <v>24</v>
      </c>
      <c r="F4">
        <v>54.997</v>
      </c>
      <c r="G4">
        <v>176.31010000000001</v>
      </c>
      <c r="H4">
        <v>422.7097</v>
      </c>
      <c r="I4">
        <v>655.55160000000001</v>
      </c>
      <c r="J4">
        <v>981.79570000000001</v>
      </c>
      <c r="K4">
        <v>1387.5758000000001</v>
      </c>
      <c r="L4">
        <v>1891.3728000000001</v>
      </c>
      <c r="M4">
        <v>2261.9059000000002</v>
      </c>
      <c r="N4">
        <v>2498.4256</v>
      </c>
      <c r="O4">
        <v>2590.7231000000002</v>
      </c>
      <c r="P4">
        <v>2779.6855</v>
      </c>
      <c r="Q4">
        <v>2856.6115</v>
      </c>
      <c r="R4">
        <v>2907.2107000000001</v>
      </c>
      <c r="S4">
        <v>2950.1320999999998</v>
      </c>
      <c r="T4">
        <v>2973.1118999999999</v>
      </c>
    </row>
    <row r="5" spans="1:20" x14ac:dyDescent="0.3">
      <c r="F5">
        <f>SUM(F3:F4)</f>
        <v>57.4679</v>
      </c>
      <c r="G5">
        <f t="shared" ref="G5:Q5" si="0">SUM(G3:G4)</f>
        <v>214.55160000000001</v>
      </c>
      <c r="H5">
        <f t="shared" si="0"/>
        <v>657.74419999999998</v>
      </c>
      <c r="I5">
        <f t="shared" si="0"/>
        <v>1082.0388</v>
      </c>
      <c r="J5">
        <f t="shared" si="0"/>
        <v>1638.1606999999999</v>
      </c>
      <c r="K5">
        <f t="shared" si="0"/>
        <v>2324.9198000000001</v>
      </c>
      <c r="L5">
        <f t="shared" si="0"/>
        <v>3173.2075000000004</v>
      </c>
      <c r="M5">
        <f t="shared" si="0"/>
        <v>3844.4862000000003</v>
      </c>
      <c r="N5">
        <f t="shared" si="0"/>
        <v>4325.4623000000001</v>
      </c>
      <c r="O5">
        <f t="shared" si="0"/>
        <v>4582.4387000000006</v>
      </c>
      <c r="P5">
        <f t="shared" si="0"/>
        <v>4951.3530000000001</v>
      </c>
      <c r="Q5">
        <f t="shared" si="0"/>
        <v>5133.3369000000002</v>
      </c>
    </row>
    <row r="6" spans="1:20" x14ac:dyDescent="0.3">
      <c r="F6" s="1">
        <f>+F5/F2</f>
        <v>1.2435385619127069E-2</v>
      </c>
      <c r="G6" s="1">
        <f t="shared" ref="G6:Q6" si="1">+G5/G2</f>
        <v>3.8829706880520266E-2</v>
      </c>
      <c r="H6" s="1">
        <f t="shared" si="1"/>
        <v>9.9956576443922904E-2</v>
      </c>
      <c r="I6" s="1">
        <f t="shared" si="1"/>
        <v>0.14755930993103869</v>
      </c>
      <c r="J6" s="1">
        <f t="shared" si="1"/>
        <v>0.19363138633221569</v>
      </c>
      <c r="K6" s="1">
        <f t="shared" si="1"/>
        <v>0.2509344311077038</v>
      </c>
      <c r="L6" s="1">
        <f t="shared" si="1"/>
        <v>0.30713760575264709</v>
      </c>
      <c r="M6" s="1">
        <f t="shared" si="1"/>
        <v>0.34068247758054016</v>
      </c>
      <c r="N6" s="1">
        <f t="shared" si="1"/>
        <v>0.3569945342509096</v>
      </c>
      <c r="O6" s="1">
        <f t="shared" si="1"/>
        <v>0.35151529242766177</v>
      </c>
      <c r="P6" s="1">
        <f t="shared" si="1"/>
        <v>0.34458195477031145</v>
      </c>
      <c r="Q6" s="1">
        <f t="shared" si="1"/>
        <v>0.34353398572890326</v>
      </c>
    </row>
    <row r="7" spans="1:20" x14ac:dyDescent="0.3">
      <c r="G7" s="1">
        <f>+F6+(0.014*(G1-F1))</f>
        <v>8.2435385619127083E-2</v>
      </c>
      <c r="H7" s="1">
        <f>+G7+(0.014*(H1-G1))</f>
        <v>0.15243538561912709</v>
      </c>
      <c r="I7" s="1">
        <f t="shared" ref="I7:N7" si="2">+H7+(0.014*(I1-H1))</f>
        <v>0.2224353856191271</v>
      </c>
      <c r="J7" s="1">
        <f t="shared" si="2"/>
        <v>0.29243538561912708</v>
      </c>
      <c r="K7" s="1">
        <f t="shared" si="2"/>
        <v>0.36243538561912708</v>
      </c>
      <c r="L7" s="1">
        <f t="shared" si="2"/>
        <v>0.43243538561912709</v>
      </c>
      <c r="M7" s="1">
        <f t="shared" si="2"/>
        <v>0.50243538561912704</v>
      </c>
      <c r="N7" s="1">
        <f t="shared" si="2"/>
        <v>0.5724353856191271</v>
      </c>
    </row>
    <row r="8" spans="1:20" x14ac:dyDescent="0.3">
      <c r="A8" t="s">
        <v>28</v>
      </c>
      <c r="B8" t="s">
        <v>21</v>
      </c>
      <c r="C8" t="s">
        <v>22</v>
      </c>
      <c r="D8" t="s">
        <v>23</v>
      </c>
      <c r="E8" t="s">
        <v>24</v>
      </c>
      <c r="F8">
        <v>3911.3560000000002</v>
      </c>
      <c r="G8">
        <v>4635.4740000000002</v>
      </c>
      <c r="H8">
        <v>5651.5650000000005</v>
      </c>
      <c r="I8">
        <v>6827.04</v>
      </c>
      <c r="J8">
        <v>7956.8040000000001</v>
      </c>
      <c r="K8">
        <v>9439.9240000000009</v>
      </c>
      <c r="L8">
        <v>9320.8269999999993</v>
      </c>
      <c r="M8">
        <v>8907.41</v>
      </c>
      <c r="N8">
        <v>10395.620000000001</v>
      </c>
      <c r="O8">
        <v>12233.08</v>
      </c>
      <c r="P8">
        <v>16776.010000000002</v>
      </c>
      <c r="Q8">
        <v>18876.5</v>
      </c>
      <c r="R8">
        <v>20357.46</v>
      </c>
      <c r="S8">
        <v>23205.23</v>
      </c>
      <c r="T8">
        <v>25051.84</v>
      </c>
    </row>
    <row r="9" spans="1:20" x14ac:dyDescent="0.3">
      <c r="A9" t="s">
        <v>28</v>
      </c>
      <c r="B9" t="s">
        <v>21</v>
      </c>
      <c r="C9" t="s">
        <v>22</v>
      </c>
      <c r="D9" t="s">
        <v>26</v>
      </c>
      <c r="E9" t="s">
        <v>24</v>
      </c>
      <c r="F9">
        <v>4.8088605651855474</v>
      </c>
      <c r="G9">
        <v>41.134589477539066</v>
      </c>
      <c r="H9">
        <v>220.22124609375001</v>
      </c>
      <c r="I9">
        <v>674.15857617187498</v>
      </c>
      <c r="J9">
        <v>1109.8461396484374</v>
      </c>
      <c r="K9">
        <v>1980.6116093749999</v>
      </c>
      <c r="L9">
        <v>1917.910400390625</v>
      </c>
      <c r="M9">
        <v>2263.8598203125002</v>
      </c>
      <c r="N9">
        <v>3480.8482265625003</v>
      </c>
      <c r="O9">
        <v>4114.7977968750001</v>
      </c>
      <c r="P9">
        <v>5731.0474999999997</v>
      </c>
      <c r="Q9">
        <v>6630.2809999999999</v>
      </c>
      <c r="R9">
        <v>7664.6100000000006</v>
      </c>
      <c r="S9">
        <v>9658.8459999999995</v>
      </c>
      <c r="T9">
        <v>10635.246999999999</v>
      </c>
    </row>
    <row r="10" spans="1:20" x14ac:dyDescent="0.3">
      <c r="A10" t="s">
        <v>28</v>
      </c>
      <c r="B10" t="s">
        <v>21</v>
      </c>
      <c r="C10" t="s">
        <v>22</v>
      </c>
      <c r="D10" t="s">
        <v>27</v>
      </c>
      <c r="E10" t="s">
        <v>24</v>
      </c>
      <c r="F10">
        <v>58.439729675292973</v>
      </c>
      <c r="G10">
        <v>180.87380004882812</v>
      </c>
      <c r="H10">
        <v>416.04306347656251</v>
      </c>
      <c r="I10">
        <v>678.24144140625003</v>
      </c>
      <c r="J10">
        <v>1002.06607421875</v>
      </c>
      <c r="K10">
        <v>1428.1317812500001</v>
      </c>
      <c r="L10">
        <v>1300.7618085937499</v>
      </c>
      <c r="M10">
        <v>1304.3911484375001</v>
      </c>
      <c r="N10">
        <v>1722.46946875</v>
      </c>
      <c r="O10">
        <v>2347.2505000000001</v>
      </c>
      <c r="P10">
        <v>3336.105296875</v>
      </c>
      <c r="Q10">
        <v>3266.0820937500002</v>
      </c>
      <c r="R10">
        <v>2770.9697031250003</v>
      </c>
      <c r="S10">
        <v>3393.471</v>
      </c>
      <c r="T10">
        <v>4004.3238125000003</v>
      </c>
    </row>
    <row r="11" spans="1:20" x14ac:dyDescent="0.3">
      <c r="F11">
        <f>SUM(F9:F10)</f>
        <v>63.248590240478521</v>
      </c>
      <c r="G11">
        <f t="shared" ref="G11:Q11" si="3">SUM(G9:G10)</f>
        <v>222.00838952636718</v>
      </c>
      <c r="H11">
        <f t="shared" si="3"/>
        <v>636.26430957031255</v>
      </c>
      <c r="I11">
        <f t="shared" si="3"/>
        <v>1352.400017578125</v>
      </c>
      <c r="J11">
        <f t="shared" si="3"/>
        <v>2111.9122138671873</v>
      </c>
      <c r="K11">
        <f t="shared" si="3"/>
        <v>3408.7433906249998</v>
      </c>
      <c r="L11">
        <f t="shared" si="3"/>
        <v>3218.6722089843752</v>
      </c>
      <c r="M11">
        <f t="shared" si="3"/>
        <v>3568.2509687500005</v>
      </c>
      <c r="N11">
        <f t="shared" si="3"/>
        <v>5203.3176953125003</v>
      </c>
      <c r="O11">
        <f t="shared" si="3"/>
        <v>6462.0482968750002</v>
      </c>
      <c r="P11">
        <f t="shared" si="3"/>
        <v>9067.1527968749997</v>
      </c>
      <c r="Q11">
        <f t="shared" si="3"/>
        <v>9896.3630937500002</v>
      </c>
    </row>
    <row r="12" spans="1:20" x14ac:dyDescent="0.3">
      <c r="F12" s="1">
        <f>+F11/F8</f>
        <v>1.6170502056186784E-2</v>
      </c>
      <c r="G12" s="1">
        <f t="shared" ref="G12:Q12" si="4">+G11/G8</f>
        <v>4.7893352335999978E-2</v>
      </c>
      <c r="H12" s="1">
        <f t="shared" si="4"/>
        <v>0.11258196792752317</v>
      </c>
      <c r="I12" s="1">
        <f t="shared" si="4"/>
        <v>0.19809463802440369</v>
      </c>
      <c r="J12" s="1">
        <f t="shared" si="4"/>
        <v>0.26542217376061888</v>
      </c>
      <c r="K12" s="1">
        <f t="shared" si="4"/>
        <v>0.36109860530921645</v>
      </c>
      <c r="L12" s="1">
        <f t="shared" si="4"/>
        <v>0.34532045375205178</v>
      </c>
      <c r="M12" s="1">
        <f t="shared" si="4"/>
        <v>0.40059354725447693</v>
      </c>
      <c r="N12" s="1">
        <f t="shared" si="4"/>
        <v>0.50052980921893064</v>
      </c>
      <c r="O12" s="1">
        <f t="shared" si="4"/>
        <v>0.52824376991526256</v>
      </c>
      <c r="P12" s="1">
        <f t="shared" si="4"/>
        <v>0.54048327325001588</v>
      </c>
      <c r="Q12" s="1">
        <f t="shared" si="4"/>
        <v>0.52426896372473708</v>
      </c>
    </row>
    <row r="13" spans="1:20" x14ac:dyDescent="0.3">
      <c r="G13" s="1">
        <f>+F12+(0.014*(G1-F1))</f>
        <v>8.6170502056186787E-2</v>
      </c>
      <c r="H13" s="1">
        <f t="shared" ref="H13" si="5">+G12+(0.014*(H1-G1))</f>
        <v>0.11789335233599998</v>
      </c>
      <c r="I13" s="1">
        <f>+H13+(0.014*(I1-H1))</f>
        <v>0.18789335233599999</v>
      </c>
      <c r="J13" s="1">
        <f t="shared" ref="J13:O13" si="6">+I13+(0.014*(J1-I1))</f>
        <v>0.25789335233599997</v>
      </c>
      <c r="K13" s="1">
        <f t="shared" si="6"/>
        <v>0.32789335233599998</v>
      </c>
      <c r="L13" s="1">
        <f t="shared" si="6"/>
        <v>0.39789335233599998</v>
      </c>
      <c r="M13" s="1">
        <f t="shared" si="6"/>
        <v>0.46789335233599999</v>
      </c>
      <c r="N13" s="1">
        <f t="shared" si="6"/>
        <v>0.537893352336</v>
      </c>
      <c r="O13" s="1">
        <f t="shared" si="6"/>
        <v>0.60789335233599995</v>
      </c>
    </row>
    <row r="14" spans="1:20" x14ac:dyDescent="0.3">
      <c r="A14" t="s">
        <v>29</v>
      </c>
      <c r="B14" t="s">
        <v>21</v>
      </c>
      <c r="C14" t="s">
        <v>22</v>
      </c>
      <c r="D14" t="s">
        <v>23</v>
      </c>
      <c r="E14" t="s">
        <v>24</v>
      </c>
      <c r="F14">
        <v>0</v>
      </c>
      <c r="G14">
        <v>0</v>
      </c>
      <c r="H14" t="s">
        <v>25</v>
      </c>
      <c r="I14">
        <v>7228.4443005603252</v>
      </c>
      <c r="J14" t="s">
        <v>25</v>
      </c>
      <c r="K14">
        <v>9754.1337394220318</v>
      </c>
      <c r="L14" t="s">
        <v>25</v>
      </c>
      <c r="M14">
        <v>14601.7237202878</v>
      </c>
      <c r="N14" t="s">
        <v>25</v>
      </c>
      <c r="O14">
        <v>20358.533937624579</v>
      </c>
      <c r="P14">
        <v>25989.9674724535</v>
      </c>
      <c r="Q14">
        <v>32111.779611463109</v>
      </c>
      <c r="R14">
        <v>41367.076749329797</v>
      </c>
      <c r="S14">
        <v>50341.171512663059</v>
      </c>
      <c r="T14">
        <v>58595.672514699749</v>
      </c>
    </row>
    <row r="15" spans="1:20" x14ac:dyDescent="0.3">
      <c r="A15" t="s">
        <v>29</v>
      </c>
      <c r="B15" t="s">
        <v>21</v>
      </c>
      <c r="C15" t="s">
        <v>22</v>
      </c>
      <c r="D15" t="s">
        <v>26</v>
      </c>
      <c r="E15" t="s">
        <v>24</v>
      </c>
      <c r="F15">
        <v>0</v>
      </c>
      <c r="G15">
        <v>0</v>
      </c>
      <c r="H15" t="s">
        <v>25</v>
      </c>
      <c r="I15">
        <v>843.58131458244497</v>
      </c>
      <c r="J15" t="s">
        <v>25</v>
      </c>
      <c r="K15">
        <v>2386.3670694471111</v>
      </c>
      <c r="L15" t="s">
        <v>25</v>
      </c>
      <c r="M15">
        <v>4862.3211742186404</v>
      </c>
      <c r="N15" t="s">
        <v>25</v>
      </c>
      <c r="O15">
        <v>7615.6227404642159</v>
      </c>
      <c r="P15">
        <v>10020.5552702235</v>
      </c>
      <c r="Q15">
        <v>12991.58874816203</v>
      </c>
      <c r="R15">
        <v>17955.84977771472</v>
      </c>
      <c r="S15">
        <v>23777.187684466458</v>
      </c>
      <c r="T15">
        <v>30130.104478772992</v>
      </c>
    </row>
    <row r="16" spans="1:20" x14ac:dyDescent="0.3">
      <c r="A16" t="s">
        <v>29</v>
      </c>
      <c r="B16" t="s">
        <v>21</v>
      </c>
      <c r="C16" t="s">
        <v>22</v>
      </c>
      <c r="D16" t="s">
        <v>27</v>
      </c>
      <c r="E16" t="s">
        <v>24</v>
      </c>
      <c r="F16">
        <v>0</v>
      </c>
      <c r="G16">
        <v>0</v>
      </c>
      <c r="H16" t="s">
        <v>25</v>
      </c>
      <c r="I16">
        <v>874.91361838558612</v>
      </c>
      <c r="J16" t="s">
        <v>25</v>
      </c>
      <c r="K16">
        <v>1496.955965533552</v>
      </c>
      <c r="L16" t="s">
        <v>25</v>
      </c>
      <c r="M16">
        <v>2913.265847335857</v>
      </c>
      <c r="N16" t="s">
        <v>25</v>
      </c>
      <c r="O16">
        <v>5384.3373756986293</v>
      </c>
      <c r="P16">
        <v>7949.402873098833</v>
      </c>
      <c r="Q16">
        <v>11021.404828690351</v>
      </c>
      <c r="R16">
        <v>15788.748318678779</v>
      </c>
      <c r="S16">
        <v>18937.558339636489</v>
      </c>
      <c r="T16">
        <v>20274.731227452641</v>
      </c>
    </row>
    <row r="17" spans="1:20" x14ac:dyDescent="0.3">
      <c r="F17">
        <f>SUM(F15:F16)</f>
        <v>0</v>
      </c>
      <c r="G17">
        <f t="shared" ref="G17" si="7">SUM(G15:G16)</f>
        <v>0</v>
      </c>
      <c r="H17">
        <f t="shared" ref="H17" si="8">SUM(H15:H16)</f>
        <v>0</v>
      </c>
      <c r="I17">
        <f t="shared" ref="I17" si="9">SUM(I15:I16)</f>
        <v>1718.4949329680312</v>
      </c>
      <c r="J17">
        <f t="shared" ref="J17" si="10">SUM(J15:J16)</f>
        <v>0</v>
      </c>
      <c r="K17">
        <f t="shared" ref="K17" si="11">SUM(K15:K16)</f>
        <v>3883.3230349806631</v>
      </c>
      <c r="L17">
        <f t="shared" ref="L17" si="12">SUM(L15:L16)</f>
        <v>0</v>
      </c>
      <c r="M17">
        <f t="shared" ref="M17" si="13">SUM(M15:M16)</f>
        <v>7775.5870215544974</v>
      </c>
      <c r="N17">
        <f t="shared" ref="N17" si="14">SUM(N15:N16)</f>
        <v>0</v>
      </c>
      <c r="O17">
        <f t="shared" ref="O17" si="15">SUM(O15:O16)</f>
        <v>12999.960116162845</v>
      </c>
      <c r="P17">
        <f t="shared" ref="P17" si="16">SUM(P15:P16)</f>
        <v>17969.958143322332</v>
      </c>
      <c r="Q17">
        <f t="shared" ref="Q17" si="17">SUM(Q15:Q16)</f>
        <v>24012.993576852379</v>
      </c>
    </row>
    <row r="18" spans="1:20" x14ac:dyDescent="0.3">
      <c r="F18" s="1"/>
      <c r="G18" s="1"/>
      <c r="H18" s="1"/>
      <c r="I18" s="1">
        <f t="shared" ref="I18" si="18">+I17/I14</f>
        <v>0.23774063429316583</v>
      </c>
      <c r="J18" s="1"/>
      <c r="K18" s="1">
        <f t="shared" ref="K18" si="19">+K17/K14</f>
        <v>0.39812074949166776</v>
      </c>
      <c r="L18" s="1"/>
      <c r="M18" s="1">
        <f t="shared" ref="M18" si="20">+M17/M14</f>
        <v>0.53251158359824391</v>
      </c>
      <c r="N18" s="1"/>
      <c r="O18" s="1">
        <f t="shared" ref="O18" si="21">+O17/O14</f>
        <v>0.63855089742673643</v>
      </c>
      <c r="P18" s="1">
        <f t="shared" ref="P18" si="22">+P17/P14</f>
        <v>0.69141903168476482</v>
      </c>
      <c r="Q18" s="1">
        <f t="shared" ref="Q18" si="23">+Q17/Q14</f>
        <v>0.74779392071688033</v>
      </c>
    </row>
    <row r="19" spans="1:20" x14ac:dyDescent="0.3">
      <c r="G19" s="1"/>
      <c r="H19" s="1"/>
      <c r="I19" s="1"/>
      <c r="J19" s="1"/>
      <c r="K19" s="1">
        <f>+I18+(0.014*(K1-I1))</f>
        <v>0.37774063429316584</v>
      </c>
      <c r="L19" s="1"/>
      <c r="M19" s="1">
        <f>+K19+(0.014*(M1-K1))</f>
        <v>0.51774063429316586</v>
      </c>
      <c r="N19" s="1"/>
      <c r="O19" s="1">
        <f>+M19+(0.014*(O1-M1))</f>
        <v>0.65774063429316587</v>
      </c>
      <c r="P19" s="1">
        <f>+O19+(0.014*(P1-O1))</f>
        <v>0.79774063429316588</v>
      </c>
      <c r="Q19" s="1">
        <f>+P19+(0.014*(Q1-P1))</f>
        <v>0.9377406342931659</v>
      </c>
    </row>
    <row r="20" spans="1:20" x14ac:dyDescent="0.3">
      <c r="A20" t="s">
        <v>30</v>
      </c>
      <c r="B20" t="s">
        <v>21</v>
      </c>
      <c r="C20" t="s">
        <v>22</v>
      </c>
      <c r="D20" t="s">
        <v>23</v>
      </c>
      <c r="E20" t="s">
        <v>24</v>
      </c>
      <c r="F20">
        <v>3735.1864</v>
      </c>
      <c r="G20">
        <v>4382.5944</v>
      </c>
      <c r="H20">
        <v>5454.2196999999996</v>
      </c>
      <c r="I20">
        <v>6746.0126</v>
      </c>
      <c r="J20">
        <v>8422.8880000000008</v>
      </c>
      <c r="K20">
        <v>11053.48</v>
      </c>
      <c r="L20">
        <v>15319.4185</v>
      </c>
      <c r="M20">
        <v>22236.880399999998</v>
      </c>
      <c r="N20">
        <v>30901.5903</v>
      </c>
      <c r="O20">
        <v>40033.271500000003</v>
      </c>
      <c r="P20">
        <v>57229.201699999998</v>
      </c>
      <c r="Q20">
        <v>71433.750400000004</v>
      </c>
      <c r="R20">
        <v>85038.305999999997</v>
      </c>
      <c r="S20">
        <v>95010.647700000001</v>
      </c>
      <c r="T20">
        <v>102576.41160000001</v>
      </c>
    </row>
    <row r="21" spans="1:20" x14ac:dyDescent="0.3">
      <c r="A21" t="s">
        <v>30</v>
      </c>
      <c r="B21" t="s">
        <v>21</v>
      </c>
      <c r="C21" t="s">
        <v>22</v>
      </c>
      <c r="D21" t="s">
        <v>26</v>
      </c>
      <c r="E21" t="s">
        <v>24</v>
      </c>
      <c r="F21">
        <v>2.6057000000000001</v>
      </c>
      <c r="G21">
        <v>39.274999999999999</v>
      </c>
      <c r="H21">
        <v>218.7201</v>
      </c>
      <c r="I21">
        <v>632.20920000000001</v>
      </c>
      <c r="J21">
        <v>1528.674</v>
      </c>
      <c r="K21">
        <v>3300.203</v>
      </c>
      <c r="L21">
        <v>6848.0163000000002</v>
      </c>
      <c r="M21">
        <v>12746.6173</v>
      </c>
      <c r="N21">
        <v>20136.544099999999</v>
      </c>
      <c r="O21">
        <v>27819.109799999998</v>
      </c>
      <c r="P21">
        <v>42468.787700000001</v>
      </c>
      <c r="Q21">
        <v>54528.489000000001</v>
      </c>
      <c r="R21">
        <v>66007.677100000001</v>
      </c>
      <c r="S21">
        <v>74425.652400000006</v>
      </c>
      <c r="T21">
        <v>81054.323699999994</v>
      </c>
    </row>
    <row r="22" spans="1:20" x14ac:dyDescent="0.3">
      <c r="A22" t="s">
        <v>30</v>
      </c>
      <c r="B22" t="s">
        <v>21</v>
      </c>
      <c r="C22" t="s">
        <v>22</v>
      </c>
      <c r="D22" t="s">
        <v>27</v>
      </c>
      <c r="E22" t="s">
        <v>24</v>
      </c>
      <c r="F22">
        <v>30.616399999999999</v>
      </c>
      <c r="G22">
        <v>179.33799999999999</v>
      </c>
      <c r="H22">
        <v>430.536</v>
      </c>
      <c r="I22">
        <v>687.9973</v>
      </c>
      <c r="J22">
        <v>1067.4290000000001</v>
      </c>
      <c r="K22">
        <v>1625.2629999999999</v>
      </c>
      <c r="L22">
        <v>2471.2350000000001</v>
      </c>
      <c r="M22">
        <v>3612.7813000000001</v>
      </c>
      <c r="N22">
        <v>4938.2156999999997</v>
      </c>
      <c r="O22">
        <v>6163.2296999999999</v>
      </c>
      <c r="P22">
        <v>8094.0833000000002</v>
      </c>
      <c r="Q22">
        <v>9823.4089000000004</v>
      </c>
      <c r="R22">
        <v>11688.9157</v>
      </c>
      <c r="S22">
        <v>12963.4748</v>
      </c>
      <c r="T22">
        <v>13141.2407</v>
      </c>
    </row>
    <row r="23" spans="1:20" x14ac:dyDescent="0.3">
      <c r="F23">
        <f>SUM(F21:F22)</f>
        <v>33.222099999999998</v>
      </c>
      <c r="G23">
        <f t="shared" ref="G23" si="24">SUM(G21:G22)</f>
        <v>218.613</v>
      </c>
      <c r="H23">
        <f t="shared" ref="H23" si="25">SUM(H21:H22)</f>
        <v>649.25610000000006</v>
      </c>
      <c r="I23">
        <f t="shared" ref="I23" si="26">SUM(I21:I22)</f>
        <v>1320.2065</v>
      </c>
      <c r="J23">
        <f t="shared" ref="J23" si="27">SUM(J21:J22)</f>
        <v>2596.1030000000001</v>
      </c>
      <c r="K23">
        <f t="shared" ref="K23" si="28">SUM(K21:K22)</f>
        <v>4925.4660000000003</v>
      </c>
      <c r="L23">
        <f t="shared" ref="L23" si="29">SUM(L21:L22)</f>
        <v>9319.2512999999999</v>
      </c>
      <c r="M23">
        <f t="shared" ref="M23" si="30">SUM(M21:M22)</f>
        <v>16359.3986</v>
      </c>
      <c r="N23">
        <f t="shared" ref="N23" si="31">SUM(N21:N22)</f>
        <v>25074.7598</v>
      </c>
      <c r="O23">
        <f t="shared" ref="O23" si="32">SUM(O21:O22)</f>
        <v>33982.339500000002</v>
      </c>
      <c r="P23">
        <f t="shared" ref="P23" si="33">SUM(P21:P22)</f>
        <v>50562.870999999999</v>
      </c>
      <c r="Q23">
        <f t="shared" ref="Q23" si="34">SUM(Q21:Q22)</f>
        <v>64351.897900000004</v>
      </c>
    </row>
    <row r="24" spans="1:20" x14ac:dyDescent="0.3">
      <c r="F24" s="1">
        <f>+F23/F20</f>
        <v>8.894362005601647E-3</v>
      </c>
      <c r="G24" s="1">
        <f t="shared" ref="G24" si="35">+G23/G20</f>
        <v>4.9882097234460028E-2</v>
      </c>
      <c r="H24" s="1">
        <f t="shared" ref="H24" si="36">+H23/H20</f>
        <v>0.11903739411157202</v>
      </c>
      <c r="I24" s="1">
        <f t="shared" ref="I24" si="37">+I23/I20</f>
        <v>0.19570175424813172</v>
      </c>
      <c r="J24" s="1">
        <f t="shared" ref="J24" si="38">+J23/J20</f>
        <v>0.30822005468908048</v>
      </c>
      <c r="K24" s="1">
        <f t="shared" ref="K24" si="39">+K23/K20</f>
        <v>0.44560319465001075</v>
      </c>
      <c r="L24" s="1">
        <f t="shared" ref="L24" si="40">+L23/L20</f>
        <v>0.60832931093304876</v>
      </c>
      <c r="M24" s="1">
        <f t="shared" ref="M24" si="41">+M23/M20</f>
        <v>0.73568766417433273</v>
      </c>
      <c r="N24" s="1">
        <f t="shared" ref="N24" si="42">+N23/N20</f>
        <v>0.81143913813393609</v>
      </c>
      <c r="O24" s="1">
        <f t="shared" ref="O24" si="43">+O23/O20</f>
        <v>0.84885242266548211</v>
      </c>
      <c r="P24" s="1">
        <f t="shared" ref="P24" si="44">+P23/P20</f>
        <v>0.88351522471088395</v>
      </c>
      <c r="Q24" s="1">
        <f t="shared" ref="Q24" si="45">+Q23/Q20</f>
        <v>0.90086125311432619</v>
      </c>
    </row>
    <row r="25" spans="1:20" x14ac:dyDescent="0.3">
      <c r="G25" s="1">
        <f>+F24+(0.014*(G$1-F$1))</f>
        <v>7.8894362005601654E-2</v>
      </c>
      <c r="H25" s="1">
        <f>+G25+(0.014*(H$1-G$1))</f>
        <v>0.14889436200560166</v>
      </c>
      <c r="I25" s="1">
        <f t="shared" ref="I25:Q25" si="46">+H25+(0.014*(I$1-H$1))</f>
        <v>0.21889436200560167</v>
      </c>
      <c r="J25" s="1">
        <f t="shared" si="46"/>
        <v>0.2888943620056017</v>
      </c>
      <c r="K25" s="1">
        <f t="shared" si="46"/>
        <v>0.35889436200560171</v>
      </c>
      <c r="L25" s="1">
        <f t="shared" si="46"/>
        <v>0.42889436200560171</v>
      </c>
      <c r="M25" s="1">
        <f t="shared" si="46"/>
        <v>0.49889436200560172</v>
      </c>
      <c r="N25" s="1">
        <f t="shared" si="46"/>
        <v>0.56889436200560173</v>
      </c>
      <c r="O25" s="1">
        <f t="shared" si="46"/>
        <v>0.63889436200560179</v>
      </c>
      <c r="P25" s="1">
        <f t="shared" si="46"/>
        <v>0.7788943620056018</v>
      </c>
      <c r="Q25" s="1">
        <f t="shared" si="46"/>
        <v>0.91889436200560182</v>
      </c>
    </row>
    <row r="26" spans="1:20" x14ac:dyDescent="0.3">
      <c r="A26" t="s">
        <v>31</v>
      </c>
      <c r="B26" t="s">
        <v>21</v>
      </c>
      <c r="C26" t="s">
        <v>22</v>
      </c>
      <c r="D26" t="s">
        <v>23</v>
      </c>
      <c r="E26" t="s">
        <v>24</v>
      </c>
      <c r="F26">
        <v>3449.2560413599999</v>
      </c>
      <c r="G26">
        <v>4738.6022479249996</v>
      </c>
      <c r="H26" t="s">
        <v>25</v>
      </c>
      <c r="I26">
        <v>7569.1956722200002</v>
      </c>
      <c r="J26" t="s">
        <v>25</v>
      </c>
      <c r="K26">
        <v>10081.33827774</v>
      </c>
      <c r="L26" t="s">
        <v>25</v>
      </c>
      <c r="M26">
        <v>20965.419519200001</v>
      </c>
      <c r="N26" t="s">
        <v>25</v>
      </c>
      <c r="O26">
        <v>32281.771733000001</v>
      </c>
      <c r="P26">
        <v>39537.503623999997</v>
      </c>
      <c r="Q26">
        <v>47719.695770899998</v>
      </c>
      <c r="R26">
        <v>56589.025686100002</v>
      </c>
      <c r="S26">
        <v>63503.234086500001</v>
      </c>
      <c r="T26">
        <v>71750.289497100006</v>
      </c>
    </row>
    <row r="27" spans="1:20" x14ac:dyDescent="0.3">
      <c r="A27" t="s">
        <v>31</v>
      </c>
      <c r="B27" t="s">
        <v>21</v>
      </c>
      <c r="C27" t="s">
        <v>22</v>
      </c>
      <c r="D27" t="s">
        <v>26</v>
      </c>
      <c r="E27" t="s">
        <v>24</v>
      </c>
      <c r="F27">
        <v>12.552891929999999</v>
      </c>
      <c r="G27">
        <v>67.228296329000003</v>
      </c>
      <c r="H27" t="s">
        <v>25</v>
      </c>
      <c r="I27">
        <v>649.36634058200002</v>
      </c>
      <c r="J27" t="s">
        <v>25</v>
      </c>
      <c r="K27">
        <v>2197.0040922759999</v>
      </c>
      <c r="L27" t="s">
        <v>25</v>
      </c>
      <c r="M27">
        <v>11263.927290203001</v>
      </c>
      <c r="N27" t="s">
        <v>25</v>
      </c>
      <c r="O27">
        <v>19391.647240589999</v>
      </c>
      <c r="P27">
        <v>22836.370551430002</v>
      </c>
      <c r="Q27">
        <v>27055.539594099999</v>
      </c>
      <c r="R27">
        <v>30622.134065499999</v>
      </c>
      <c r="S27">
        <v>32125.4291749</v>
      </c>
      <c r="T27">
        <v>34921.634710400001</v>
      </c>
    </row>
    <row r="28" spans="1:20" x14ac:dyDescent="0.3">
      <c r="A28" t="s">
        <v>31</v>
      </c>
      <c r="B28" t="s">
        <v>21</v>
      </c>
      <c r="C28" t="s">
        <v>22</v>
      </c>
      <c r="D28" t="s">
        <v>27</v>
      </c>
      <c r="E28" t="s">
        <v>24</v>
      </c>
      <c r="F28">
        <v>54.735159815999999</v>
      </c>
      <c r="G28">
        <v>230.38348438099999</v>
      </c>
      <c r="H28" t="s">
        <v>25</v>
      </c>
      <c r="I28">
        <v>556.60448203800001</v>
      </c>
      <c r="J28" t="s">
        <v>25</v>
      </c>
      <c r="K28">
        <v>1300.696122071</v>
      </c>
      <c r="L28" t="s">
        <v>25</v>
      </c>
      <c r="M28">
        <v>3069.2555583540002</v>
      </c>
      <c r="N28" t="s">
        <v>25</v>
      </c>
      <c r="O28">
        <v>4365.0865533509996</v>
      </c>
      <c r="P28">
        <v>6214.379964494</v>
      </c>
      <c r="Q28">
        <v>8851.0629884379996</v>
      </c>
      <c r="R28">
        <v>12606.456719313001</v>
      </c>
      <c r="S28">
        <v>17092.660257998999</v>
      </c>
      <c r="T28">
        <v>21555.641618939</v>
      </c>
    </row>
    <row r="29" spans="1:20" x14ac:dyDescent="0.3">
      <c r="F29">
        <f>SUM(F27:F28)</f>
        <v>67.288051745999994</v>
      </c>
      <c r="G29">
        <f t="shared" ref="G29" si="47">SUM(G27:G28)</f>
        <v>297.61178071000001</v>
      </c>
      <c r="H29">
        <f t="shared" ref="H29" si="48">SUM(H27:H28)</f>
        <v>0</v>
      </c>
      <c r="I29">
        <f t="shared" ref="I29" si="49">SUM(I27:I28)</f>
        <v>1205.97082262</v>
      </c>
      <c r="J29">
        <f t="shared" ref="J29" si="50">SUM(J27:J28)</f>
        <v>0</v>
      </c>
      <c r="K29">
        <f t="shared" ref="K29" si="51">SUM(K27:K28)</f>
        <v>3497.7002143469999</v>
      </c>
      <c r="L29">
        <f t="shared" ref="L29" si="52">SUM(L27:L28)</f>
        <v>0</v>
      </c>
      <c r="M29">
        <f t="shared" ref="M29" si="53">SUM(M27:M28)</f>
        <v>14333.182848557</v>
      </c>
      <c r="N29">
        <f t="shared" ref="N29" si="54">SUM(N27:N28)</f>
        <v>0</v>
      </c>
      <c r="O29">
        <f t="shared" ref="O29" si="55">SUM(O27:O28)</f>
        <v>23756.733793940999</v>
      </c>
      <c r="P29">
        <f t="shared" ref="P29" si="56">SUM(P27:P28)</f>
        <v>29050.750515924003</v>
      </c>
      <c r="Q29">
        <f t="shared" ref="Q29" si="57">SUM(Q27:Q28)</f>
        <v>35906.602582537998</v>
      </c>
    </row>
    <row r="30" spans="1:20" x14ac:dyDescent="0.3">
      <c r="F30" s="1">
        <f>+F29/F26</f>
        <v>1.9507989821326552E-2</v>
      </c>
      <c r="G30" s="1">
        <f t="shared" ref="G30" si="58">+G29/G26</f>
        <v>6.2805815964047648E-2</v>
      </c>
      <c r="H30" s="1"/>
      <c r="I30" s="1">
        <f t="shared" ref="I30" si="59">+I29/I26</f>
        <v>0.15932615232105579</v>
      </c>
      <c r="J30" s="1"/>
      <c r="K30" s="1">
        <f t="shared" ref="K30" si="60">+K29/K26</f>
        <v>0.34694800610649706</v>
      </c>
      <c r="L30" s="1"/>
      <c r="M30" s="1">
        <f t="shared" ref="M30" si="61">+M29/M26</f>
        <v>0.68365828956729247</v>
      </c>
      <c r="N30" s="1"/>
      <c r="O30" s="1">
        <f t="shared" ref="O30" si="62">+O29/O26</f>
        <v>0.73591790408627744</v>
      </c>
      <c r="P30" s="1">
        <f t="shared" ref="P30" si="63">+P29/P26</f>
        <v>0.73476440981695312</v>
      </c>
      <c r="Q30" s="1">
        <f t="shared" ref="Q30" si="64">+Q29/Q26</f>
        <v>0.75244827114833046</v>
      </c>
    </row>
    <row r="31" spans="1:20" x14ac:dyDescent="0.3">
      <c r="G31" s="1">
        <f>+F30+(0.014*(G$1-F$1))</f>
        <v>8.9507989821326558E-2</v>
      </c>
      <c r="H31" s="1"/>
      <c r="I31" s="1">
        <f>+G31+(0.014*(I$1-G$1))</f>
        <v>0.22950798982132659</v>
      </c>
      <c r="J31" s="1"/>
      <c r="K31" s="1">
        <f>+I31+(0.014*(K$1-I$1))</f>
        <v>0.3695079898213266</v>
      </c>
      <c r="L31" s="1"/>
      <c r="M31" s="1">
        <f>+K31+(0.014*(M$1-K$1))</f>
        <v>0.50950798982132661</v>
      </c>
      <c r="N31" s="1"/>
      <c r="O31" s="1">
        <f>+M31+(0.014*(O$1-M$1))</f>
        <v>0.64950798982132663</v>
      </c>
      <c r="P31" s="1"/>
      <c r="Q31" s="1">
        <f>+O31+(0.014*(Q$1-O$1))</f>
        <v>0.92950798982132665</v>
      </c>
    </row>
    <row r="32" spans="1:20" x14ac:dyDescent="0.3">
      <c r="A32" t="s">
        <v>32</v>
      </c>
      <c r="B32" t="s">
        <v>21</v>
      </c>
      <c r="C32" t="s">
        <v>22</v>
      </c>
      <c r="D32" t="s">
        <v>23</v>
      </c>
      <c r="E32" t="s">
        <v>24</v>
      </c>
      <c r="F32">
        <v>3790.3256782931398</v>
      </c>
      <c r="G32">
        <v>4787.0005641950502</v>
      </c>
      <c r="H32">
        <v>5734.9208137858304</v>
      </c>
      <c r="I32">
        <v>7047.9746834207599</v>
      </c>
      <c r="J32">
        <v>7787.8798359164302</v>
      </c>
      <c r="K32">
        <v>9197.8674649657896</v>
      </c>
      <c r="L32">
        <v>10828.274992499901</v>
      </c>
      <c r="M32">
        <v>13110.1612248651</v>
      </c>
      <c r="N32">
        <v>15294.420038714199</v>
      </c>
      <c r="O32">
        <v>17803.251534515799</v>
      </c>
      <c r="P32">
        <v>22853.643300120999</v>
      </c>
      <c r="Q32">
        <v>28132.9947325463</v>
      </c>
      <c r="R32">
        <v>33788.503519460399</v>
      </c>
      <c r="S32">
        <v>37892.573393495302</v>
      </c>
      <c r="T32">
        <v>41941.903326022803</v>
      </c>
    </row>
    <row r="33" spans="1:20" x14ac:dyDescent="0.3">
      <c r="A33" t="s">
        <v>32</v>
      </c>
      <c r="B33" t="s">
        <v>21</v>
      </c>
      <c r="C33" t="s">
        <v>22</v>
      </c>
      <c r="D33" t="s">
        <v>26</v>
      </c>
      <c r="E33" t="s">
        <v>24</v>
      </c>
      <c r="F33">
        <v>8.5988682044734794</v>
      </c>
      <c r="G33">
        <v>70.410222523048205</v>
      </c>
      <c r="H33">
        <v>223.85757000534801</v>
      </c>
      <c r="I33">
        <v>546.49024870302799</v>
      </c>
      <c r="J33">
        <v>943.38568038732899</v>
      </c>
      <c r="K33">
        <v>1365.37450681115</v>
      </c>
      <c r="L33">
        <v>2195.44229841881</v>
      </c>
      <c r="M33">
        <v>3301.27812465957</v>
      </c>
      <c r="N33">
        <v>4570.4084345113697</v>
      </c>
      <c r="O33">
        <v>6007.1923456826398</v>
      </c>
      <c r="P33">
        <v>8243.2617249205105</v>
      </c>
      <c r="Q33">
        <v>10332.788366327801</v>
      </c>
      <c r="R33">
        <v>12856.948600764499</v>
      </c>
      <c r="S33">
        <v>14526.0884699443</v>
      </c>
      <c r="T33">
        <v>15827.825815243799</v>
      </c>
    </row>
    <row r="34" spans="1:20" x14ac:dyDescent="0.3">
      <c r="A34" t="s">
        <v>32</v>
      </c>
      <c r="B34" t="s">
        <v>21</v>
      </c>
      <c r="C34" t="s">
        <v>22</v>
      </c>
      <c r="D34" t="s">
        <v>27</v>
      </c>
      <c r="E34" t="s">
        <v>24</v>
      </c>
      <c r="F34">
        <v>65.709528088667497</v>
      </c>
      <c r="G34">
        <v>192.90883508702601</v>
      </c>
      <c r="H34">
        <v>391.803901301135</v>
      </c>
      <c r="I34">
        <v>617.31159589777405</v>
      </c>
      <c r="J34">
        <v>1026.7428159608501</v>
      </c>
      <c r="K34">
        <v>1710.9009834477399</v>
      </c>
      <c r="L34">
        <v>2757.3087249825298</v>
      </c>
      <c r="M34">
        <v>4313.6790831632197</v>
      </c>
      <c r="N34">
        <v>5528.1431024240901</v>
      </c>
      <c r="O34">
        <v>6881.9509187977301</v>
      </c>
      <c r="P34">
        <v>9990.2431196037705</v>
      </c>
      <c r="Q34">
        <v>13174.299140595</v>
      </c>
      <c r="R34">
        <v>16190.579789011501</v>
      </c>
      <c r="S34">
        <v>18374.676294794899</v>
      </c>
      <c r="T34">
        <v>20710.056206061399</v>
      </c>
    </row>
    <row r="35" spans="1:20" x14ac:dyDescent="0.3">
      <c r="F35">
        <f>SUM(F33:F34)</f>
        <v>74.308396293140973</v>
      </c>
      <c r="G35">
        <f t="shared" ref="G35" si="65">SUM(G33:G34)</f>
        <v>263.3190576100742</v>
      </c>
      <c r="H35">
        <f t="shared" ref="H35" si="66">SUM(H33:H34)</f>
        <v>615.66147130648301</v>
      </c>
      <c r="I35">
        <f t="shared" ref="I35" si="67">SUM(I33:I34)</f>
        <v>1163.801844600802</v>
      </c>
      <c r="J35">
        <f t="shared" ref="J35" si="68">SUM(J33:J34)</f>
        <v>1970.1284963481789</v>
      </c>
      <c r="K35">
        <f t="shared" ref="K35" si="69">SUM(K33:K34)</f>
        <v>3076.2754902588899</v>
      </c>
      <c r="L35">
        <f t="shared" ref="L35" si="70">SUM(L33:L34)</f>
        <v>4952.7510234013398</v>
      </c>
      <c r="M35">
        <f t="shared" ref="M35" si="71">SUM(M33:M34)</f>
        <v>7614.9572078227902</v>
      </c>
      <c r="N35">
        <f t="shared" ref="N35" si="72">SUM(N33:N34)</f>
        <v>10098.55153693546</v>
      </c>
      <c r="O35">
        <f t="shared" ref="O35" si="73">SUM(O33:O34)</f>
        <v>12889.14326448037</v>
      </c>
      <c r="P35">
        <f t="shared" ref="P35" si="74">SUM(P33:P34)</f>
        <v>18233.504844524279</v>
      </c>
      <c r="Q35">
        <f t="shared" ref="Q35" si="75">SUM(Q33:Q34)</f>
        <v>23507.087506922799</v>
      </c>
    </row>
    <row r="36" spans="1:20" x14ac:dyDescent="0.3">
      <c r="F36" s="1">
        <f>+F35/F32</f>
        <v>1.9604752361703004E-2</v>
      </c>
      <c r="G36" s="1">
        <f t="shared" ref="G36" si="76">+G35/G32</f>
        <v>5.5007108121022788E-2</v>
      </c>
      <c r="H36" s="1">
        <f t="shared" ref="H36" si="77">+H35/H32</f>
        <v>0.10735309018156476</v>
      </c>
      <c r="I36" s="1">
        <f t="shared" ref="I36" si="78">+I35/I32</f>
        <v>0.16512571297091361</v>
      </c>
      <c r="J36" s="1">
        <f t="shared" ref="J36" si="79">+J35/J32</f>
        <v>0.25297366393126253</v>
      </c>
      <c r="K36" s="1">
        <f t="shared" ref="K36" si="80">+K35/K32</f>
        <v>0.33445529651044303</v>
      </c>
      <c r="L36" s="1">
        <f t="shared" ref="L36" si="81">+L35/L32</f>
        <v>0.45739058408027267</v>
      </c>
      <c r="M36" s="1">
        <f t="shared" ref="M36" si="82">+M35/M32</f>
        <v>0.58084390246704587</v>
      </c>
      <c r="N36" s="1">
        <f t="shared" ref="N36" si="83">+N35/N32</f>
        <v>0.66027685334738884</v>
      </c>
      <c r="O36" s="1">
        <f t="shared" ref="O36" si="84">+O35/O32</f>
        <v>0.72397692295094118</v>
      </c>
      <c r="P36" s="1">
        <f t="shared" ref="P36" si="85">+P35/P32</f>
        <v>0.79783799042788694</v>
      </c>
      <c r="Q36" s="1">
        <f t="shared" ref="Q36" si="86">+Q35/Q32</f>
        <v>0.83557003903775962</v>
      </c>
    </row>
    <row r="37" spans="1:20" x14ac:dyDescent="0.3">
      <c r="G37" s="1">
        <f>+F36+(0.014*(G$1-F$1))</f>
        <v>8.9604752361703011E-2</v>
      </c>
      <c r="H37" s="1">
        <f>+G37+(0.014*(H$1-G$1))</f>
        <v>0.15960475236170302</v>
      </c>
      <c r="I37" s="1">
        <f>+H37+(0.014*(I$1-H$1))</f>
        <v>0.22960475236170302</v>
      </c>
      <c r="J37" s="1">
        <f t="shared" ref="J37:S37" si="87">+I36+(0.014*(J$1-I$1))</f>
        <v>0.23512571297091361</v>
      </c>
      <c r="K37" s="1">
        <f t="shared" si="87"/>
        <v>0.32297366393126253</v>
      </c>
      <c r="L37" s="1">
        <f t="shared" si="87"/>
        <v>0.40445529651044304</v>
      </c>
      <c r="M37" s="1">
        <f t="shared" si="87"/>
        <v>0.52739058408027262</v>
      </c>
      <c r="N37" s="1">
        <f t="shared" si="87"/>
        <v>0.65084390246704582</v>
      </c>
      <c r="O37" s="1">
        <f t="shared" si="87"/>
        <v>0.7302768533473889</v>
      </c>
      <c r="P37" s="1">
        <f t="shared" si="87"/>
        <v>0.8639769229509412</v>
      </c>
      <c r="Q37" s="1">
        <f t="shared" si="87"/>
        <v>0.93783799042788696</v>
      </c>
    </row>
    <row r="38" spans="1:20" x14ac:dyDescent="0.3">
      <c r="A38" t="s">
        <v>33</v>
      </c>
      <c r="B38" t="s">
        <v>21</v>
      </c>
      <c r="C38" t="s">
        <v>22</v>
      </c>
      <c r="D38" t="s">
        <v>23</v>
      </c>
      <c r="E38" t="s">
        <v>24</v>
      </c>
      <c r="F38">
        <v>4258.82861328125</v>
      </c>
      <c r="G38">
        <v>5296.90478515625</v>
      </c>
      <c r="H38">
        <v>6505.24560546875</v>
      </c>
      <c r="I38">
        <v>7524.01025390625</v>
      </c>
      <c r="J38">
        <v>9182.005859375</v>
      </c>
      <c r="K38">
        <v>11984.3779296875</v>
      </c>
      <c r="L38">
        <v>15179.2255859375</v>
      </c>
      <c r="M38">
        <v>19061.12109375</v>
      </c>
      <c r="N38">
        <v>24234.34765625</v>
      </c>
      <c r="O38">
        <v>29011.015625</v>
      </c>
      <c r="P38">
        <v>49318.71875</v>
      </c>
      <c r="Q38">
        <v>74521.3828125</v>
      </c>
      <c r="R38">
        <v>77317.4375</v>
      </c>
      <c r="S38">
        <v>69000.859375</v>
      </c>
      <c r="T38">
        <v>65457.9296875</v>
      </c>
    </row>
    <row r="39" spans="1:20" x14ac:dyDescent="0.3">
      <c r="A39" t="s">
        <v>33</v>
      </c>
      <c r="B39" t="s">
        <v>21</v>
      </c>
      <c r="C39" t="s">
        <v>22</v>
      </c>
      <c r="D39" t="s">
        <v>26</v>
      </c>
      <c r="E39" t="s">
        <v>24</v>
      </c>
      <c r="F39">
        <v>4.0327668190002441</v>
      </c>
      <c r="G39">
        <v>37.757801055908203</v>
      </c>
      <c r="H39">
        <v>213.40043640136719</v>
      </c>
      <c r="I39">
        <v>655.15435791015625</v>
      </c>
      <c r="J39">
        <v>1501.3741455078125</v>
      </c>
      <c r="K39">
        <v>2884.0654296875</v>
      </c>
      <c r="L39">
        <v>4953.74072265625</v>
      </c>
      <c r="M39">
        <v>7191.775390625</v>
      </c>
      <c r="N39">
        <v>9737.970703125</v>
      </c>
      <c r="O39">
        <v>12035.73828125</v>
      </c>
      <c r="P39">
        <v>21244.6796875</v>
      </c>
      <c r="Q39">
        <v>29836.283203125</v>
      </c>
      <c r="R39">
        <v>30232.48828125</v>
      </c>
      <c r="S39">
        <v>25704.40625</v>
      </c>
      <c r="T39">
        <v>24717.275390625</v>
      </c>
    </row>
    <row r="40" spans="1:20" x14ac:dyDescent="0.3">
      <c r="A40" t="s">
        <v>33</v>
      </c>
      <c r="B40" t="s">
        <v>21</v>
      </c>
      <c r="C40" t="s">
        <v>22</v>
      </c>
      <c r="D40" t="s">
        <v>27</v>
      </c>
      <c r="E40" t="s">
        <v>24</v>
      </c>
      <c r="F40">
        <v>58.654216766357422</v>
      </c>
      <c r="G40">
        <v>183.745361328125</v>
      </c>
      <c r="H40">
        <v>416.61148071289063</v>
      </c>
      <c r="I40">
        <v>695.22064208984375</v>
      </c>
      <c r="J40">
        <v>1239.0966796875</v>
      </c>
      <c r="K40">
        <v>2174.116943359375</v>
      </c>
      <c r="L40">
        <v>3184.37890625</v>
      </c>
      <c r="M40">
        <v>4118.056640625</v>
      </c>
      <c r="N40">
        <v>5454.13671875</v>
      </c>
      <c r="O40">
        <v>6760.2255859375</v>
      </c>
      <c r="P40">
        <v>12906.83203125</v>
      </c>
      <c r="Q40">
        <v>20900</v>
      </c>
      <c r="R40">
        <v>23982.94921875</v>
      </c>
      <c r="S40">
        <v>20739.443359375</v>
      </c>
      <c r="T40">
        <v>19540.564453125</v>
      </c>
    </row>
    <row r="41" spans="1:20" x14ac:dyDescent="0.3">
      <c r="F41">
        <f>SUM(F39:F40)</f>
        <v>62.686983585357666</v>
      </c>
      <c r="G41">
        <f t="shared" ref="G41" si="88">SUM(G39:G40)</f>
        <v>221.5031623840332</v>
      </c>
      <c r="H41">
        <f t="shared" ref="H41" si="89">SUM(H39:H40)</f>
        <v>630.01191711425781</v>
      </c>
      <c r="I41">
        <f t="shared" ref="I41" si="90">SUM(I39:I40)</f>
        <v>1350.375</v>
      </c>
      <c r="J41">
        <f t="shared" ref="J41" si="91">SUM(J39:J40)</f>
        <v>2740.4708251953125</v>
      </c>
      <c r="K41">
        <f t="shared" ref="K41" si="92">SUM(K39:K40)</f>
        <v>5058.182373046875</v>
      </c>
      <c r="L41">
        <f t="shared" ref="L41" si="93">SUM(L39:L40)</f>
        <v>8138.11962890625</v>
      </c>
      <c r="M41">
        <f t="shared" ref="M41" si="94">SUM(M39:M40)</f>
        <v>11309.83203125</v>
      </c>
      <c r="N41">
        <f t="shared" ref="N41" si="95">SUM(N39:N40)</f>
        <v>15192.107421875</v>
      </c>
      <c r="O41">
        <f t="shared" ref="O41" si="96">SUM(O39:O40)</f>
        <v>18795.9638671875</v>
      </c>
      <c r="P41">
        <f t="shared" ref="P41" si="97">SUM(P39:P40)</f>
        <v>34151.51171875</v>
      </c>
      <c r="Q41">
        <f t="shared" ref="Q41" si="98">SUM(Q39:Q40)</f>
        <v>50736.283203125</v>
      </c>
    </row>
    <row r="42" spans="1:20" x14ac:dyDescent="0.3">
      <c r="F42" s="1">
        <f>+F41/F38</f>
        <v>1.4719301779335975E-2</v>
      </c>
      <c r="G42" s="1">
        <f t="shared" ref="G42" si="99">+G41/G38</f>
        <v>4.181747102661941E-2</v>
      </c>
      <c r="H42" s="1">
        <f t="shared" ref="H42" si="100">+H41/H38</f>
        <v>9.6846753423825704E-2</v>
      </c>
      <c r="I42" s="1">
        <f t="shared" ref="I42" si="101">+I41/I38</f>
        <v>0.17947543323707249</v>
      </c>
      <c r="J42" s="1">
        <f t="shared" ref="J42" si="102">+J41/J38</f>
        <v>0.29846101899371369</v>
      </c>
      <c r="K42" s="1">
        <f t="shared" ref="K42" si="103">+K41/K38</f>
        <v>0.42206465806763577</v>
      </c>
      <c r="L42" s="1">
        <f t="shared" ref="L42" si="104">+L41/L38</f>
        <v>0.53613536361470593</v>
      </c>
      <c r="M42" s="1">
        <f t="shared" ref="M42" si="105">+M41/M38</f>
        <v>0.59334558421951422</v>
      </c>
      <c r="N42" s="1">
        <f t="shared" ref="N42" si="106">+N41/N38</f>
        <v>0.62688328307269203</v>
      </c>
      <c r="O42" s="1">
        <f t="shared" ref="O42" si="107">+O41/O38</f>
        <v>0.64789058439547476</v>
      </c>
      <c r="P42" s="1">
        <f t="shared" ref="P42" si="108">+P41/P38</f>
        <v>0.69246550973609788</v>
      </c>
      <c r="Q42" s="1">
        <f t="shared" ref="Q42" si="109">+Q41/Q38</f>
        <v>0.68082852583104037</v>
      </c>
    </row>
    <row r="43" spans="1:20" x14ac:dyDescent="0.3">
      <c r="G43" s="1">
        <f>+F42+(0.014*(G$1-F$1))</f>
        <v>8.4719301779335981E-2</v>
      </c>
      <c r="H43" s="1">
        <f>+G43+(0.014*(H$1-G$1))</f>
        <v>0.15471930177933599</v>
      </c>
      <c r="I43" s="1">
        <f t="shared" ref="I43:Q43" si="110">+H43+(0.014*(I$1-H$1))</f>
        <v>0.22471930177933599</v>
      </c>
      <c r="J43" s="1">
        <f t="shared" si="110"/>
        <v>0.29471930177933603</v>
      </c>
      <c r="K43" s="1">
        <f t="shared" si="110"/>
        <v>0.36471930177933604</v>
      </c>
      <c r="L43" s="1">
        <f t="shared" si="110"/>
        <v>0.43471930177933604</v>
      </c>
      <c r="M43" s="1">
        <f t="shared" si="110"/>
        <v>0.5047193017793361</v>
      </c>
      <c r="N43" s="1">
        <f t="shared" si="110"/>
        <v>0.57471930177933617</v>
      </c>
      <c r="O43" s="1">
        <f t="shared" si="110"/>
        <v>0.64471930177933623</v>
      </c>
      <c r="P43" s="1">
        <f t="shared" si="110"/>
        <v>0.78471930177933624</v>
      </c>
      <c r="Q43" s="1">
        <f t="shared" si="110"/>
        <v>0.92471930177933626</v>
      </c>
    </row>
  </sheetData>
  <pageMargins left="0.7" right="0.7" top="0.75" bottom="0.75" header="0.3" footer="0.3"/>
  <ignoredErrors>
    <ignoredError sqref="A1:T4 A38:T40 A8:T10 A14:T16 A20:T22 A26:T28 A32:T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ht="15.6" x14ac:dyDescent="0.3">
      <c r="A1" t="s">
        <v>34</v>
      </c>
    </row>
    <row r="2" spans="1:1" ht="15.6" x14ac:dyDescent="0.3">
      <c r="A2" t="s">
        <v>35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Ives</dc:creator>
  <cp:lastModifiedBy>Matthew Ives</cp:lastModifiedBy>
  <dcterms:created xsi:type="dcterms:W3CDTF">2025-11-25T16:59:56Z</dcterms:created>
  <dcterms:modified xsi:type="dcterms:W3CDTF">2025-11-25T16:59:56Z</dcterms:modified>
</cp:coreProperties>
</file>